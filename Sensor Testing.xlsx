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hu\Downloads\"/>
    </mc:Choice>
  </mc:AlternateContent>
  <xr:revisionPtr revIDLastSave="0" documentId="13_ncr:1_{4DA921DE-06E8-4B7D-B132-C57029F54E62}" xr6:coauthVersionLast="47" xr6:coauthVersionMax="47" xr10:uidLastSave="{00000000-0000-0000-0000-000000000000}"/>
  <bookViews>
    <workbookView xWindow="-108" yWindow="-108" windowWidth="23256" windowHeight="12456" xr2:uid="{4A963D73-5BFA-4017-BED1-EAC5BEB73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1" l="1"/>
  <c r="P35" i="1"/>
  <c r="P34" i="1"/>
  <c r="K20" i="1"/>
  <c r="K21" i="1"/>
  <c r="K22" i="1"/>
  <c r="K23" i="1"/>
  <c r="K24" i="1"/>
  <c r="K25" i="1"/>
  <c r="K26" i="1"/>
  <c r="K27" i="1"/>
  <c r="K28" i="1"/>
  <c r="K29" i="1"/>
  <c r="K30" i="1"/>
  <c r="K19" i="1"/>
</calcChain>
</file>

<file path=xl/sharedStrings.xml><?xml version="1.0" encoding="utf-8"?>
<sst xmlns="http://schemas.openxmlformats.org/spreadsheetml/2006/main" count="52" uniqueCount="29">
  <si>
    <t>Red</t>
  </si>
  <si>
    <t>Green</t>
  </si>
  <si>
    <t>Blue</t>
  </si>
  <si>
    <t>10mm</t>
  </si>
  <si>
    <t>20mm</t>
  </si>
  <si>
    <t>Red Value</t>
  </si>
  <si>
    <t>Green Value</t>
  </si>
  <si>
    <t>Blue Value</t>
  </si>
  <si>
    <t>RGB Returned Values in Natural Light*</t>
  </si>
  <si>
    <t>Comment:
The red, green and blue values remained consistent despite the environment's light levels.</t>
  </si>
  <si>
    <t>0mm</t>
  </si>
  <si>
    <t>5mm</t>
  </si>
  <si>
    <t>15mm</t>
  </si>
  <si>
    <t>Actual Distance (mm)</t>
  </si>
  <si>
    <t>Measured Distance (mm)</t>
  </si>
  <si>
    <t>Ultrasonic Sensor Calibration</t>
  </si>
  <si>
    <t>Difference (%)</t>
  </si>
  <si>
    <t>-</t>
  </si>
  <si>
    <t>Actual Colour</t>
  </si>
  <si>
    <t>Colour Identified by System</t>
  </si>
  <si>
    <t>Accuracy</t>
  </si>
  <si>
    <t>Storage Space Count 1</t>
  </si>
  <si>
    <t>Storage Space Count 3</t>
  </si>
  <si>
    <t>Storage Space Count 2</t>
  </si>
  <si>
    <t>Storage Space Count 0*</t>
  </si>
  <si>
    <t>✓✓✓</t>
  </si>
  <si>
    <t>At count 0, the dobot arm will not attempt to retrieve a block. This was successful for all colours.</t>
  </si>
  <si>
    <t>Real System - Colour Identification</t>
  </si>
  <si>
    <t>Real System - Retrieval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</si>
</sst>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medium">
        <color indexed="64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164" fontId="7" fillId="4" borderId="8" xfId="0" applyNumberFormat="1" applyFont="1" applyFill="1" applyBorder="1" applyAlignment="1">
      <alignment horizontal="center" vertical="center"/>
    </xf>
    <xf numFmtId="164" fontId="7" fillId="4" borderId="8" xfId="0" applyNumberFormat="1" applyFont="1" applyFill="1" applyBorder="1" applyAlignment="1">
      <alignment horizontal="center"/>
    </xf>
    <xf numFmtId="9" fontId="7" fillId="4" borderId="8" xfId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left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4" borderId="8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164" fontId="7" fillId="4" borderId="10" xfId="0" applyNumberFormat="1" applyFont="1" applyFill="1" applyBorder="1" applyAlignment="1">
      <alignment horizontal="center" vertical="center"/>
    </xf>
    <xf numFmtId="9" fontId="7" fillId="4" borderId="10" xfId="1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4" fontId="7" fillId="4" borderId="11" xfId="0" applyNumberFormat="1" applyFont="1" applyFill="1" applyBorder="1" applyAlignment="1">
      <alignment horizontal="center"/>
    </xf>
    <xf numFmtId="9" fontId="7" fillId="4" borderId="11" xfId="1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164" fontId="9" fillId="4" borderId="13" xfId="0" applyNumberFormat="1" applyFont="1" applyFill="1" applyBorder="1" applyAlignment="1">
      <alignment horizontal="center"/>
    </xf>
    <xf numFmtId="9" fontId="9" fillId="4" borderId="14" xfId="1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164" fontId="9" fillId="4" borderId="16" xfId="0" applyNumberFormat="1" applyFont="1" applyFill="1" applyBorder="1" applyAlignment="1">
      <alignment horizontal="center"/>
    </xf>
    <xf numFmtId="9" fontId="9" fillId="4" borderId="17" xfId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left" wrapText="1"/>
    </xf>
    <xf numFmtId="0" fontId="0" fillId="4" borderId="11" xfId="0" applyFill="1" applyBorder="1" applyAlignment="1">
      <alignment horizontal="left"/>
    </xf>
    <xf numFmtId="0" fontId="4" fillId="3" borderId="18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9" fontId="0" fillId="4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E429-90AD-4FB7-BE7E-C814CED7ED99}">
  <dimension ref="B1:U41"/>
  <sheetViews>
    <sheetView showGridLines="0" tabSelected="1" topLeftCell="B9" zoomScale="85" zoomScaleNormal="85" workbookViewId="0">
      <selection activeCell="T42" sqref="T42:T43"/>
    </sheetView>
  </sheetViews>
  <sheetFormatPr defaultRowHeight="14.4" x14ac:dyDescent="0.3"/>
  <cols>
    <col min="1" max="1" width="3.6640625" customWidth="1"/>
    <col min="2" max="2" width="16.21875" customWidth="1"/>
    <col min="3" max="3" width="12" customWidth="1"/>
    <col min="4" max="8" width="7.21875" customWidth="1"/>
    <col min="9" max="9" width="18.88671875" bestFit="1" customWidth="1"/>
    <col min="10" max="10" width="22" bestFit="1" customWidth="1"/>
    <col min="11" max="11" width="12.6640625" bestFit="1" customWidth="1"/>
    <col min="12" max="12" width="12.21875" customWidth="1"/>
    <col min="13" max="13" width="8.88671875" customWidth="1"/>
    <col min="14" max="15" width="8.88671875" style="1" customWidth="1"/>
    <col min="18" max="20" width="16.33203125" customWidth="1"/>
    <col min="21" max="21" width="29.33203125" customWidth="1"/>
  </cols>
  <sheetData>
    <row r="1" spans="2:15" ht="11.4" customHeight="1" x14ac:dyDescent="0.3"/>
    <row r="2" spans="2:15" ht="15.6" x14ac:dyDescent="0.3">
      <c r="B2" s="65" t="s">
        <v>8</v>
      </c>
      <c r="C2" s="65"/>
      <c r="D2" s="65"/>
      <c r="E2" s="65"/>
      <c r="F2" s="65"/>
      <c r="G2" s="65"/>
      <c r="H2" s="65"/>
    </row>
    <row r="3" spans="2:15" ht="15" thickBot="1" x14ac:dyDescent="0.35">
      <c r="B3" s="43"/>
      <c r="C3" s="44"/>
      <c r="D3" s="45" t="s">
        <v>10</v>
      </c>
      <c r="E3" s="45" t="s">
        <v>11</v>
      </c>
      <c r="F3" s="45" t="s">
        <v>3</v>
      </c>
      <c r="G3" s="45" t="s">
        <v>12</v>
      </c>
      <c r="H3" s="45" t="s">
        <v>4</v>
      </c>
    </row>
    <row r="4" spans="2:15" ht="15" customHeight="1" x14ac:dyDescent="0.3">
      <c r="B4" s="46" t="s">
        <v>0</v>
      </c>
      <c r="C4" s="28" t="s">
        <v>6</v>
      </c>
      <c r="D4" s="28">
        <v>154</v>
      </c>
      <c r="E4" s="28">
        <v>144</v>
      </c>
      <c r="F4" s="28">
        <v>144</v>
      </c>
      <c r="G4" s="28">
        <v>134</v>
      </c>
      <c r="H4" s="29">
        <v>144</v>
      </c>
    </row>
    <row r="5" spans="2:15" ht="15" customHeight="1" x14ac:dyDescent="0.3">
      <c r="B5" s="47"/>
      <c r="C5" s="3" t="s">
        <v>7</v>
      </c>
      <c r="D5" s="3">
        <v>164</v>
      </c>
      <c r="E5" s="3">
        <v>154</v>
      </c>
      <c r="F5" s="3">
        <v>144</v>
      </c>
      <c r="G5" s="3">
        <v>144</v>
      </c>
      <c r="H5" s="31">
        <v>144</v>
      </c>
    </row>
    <row r="6" spans="2:15" ht="15" customHeight="1" thickBot="1" x14ac:dyDescent="0.35">
      <c r="B6" s="48"/>
      <c r="C6" s="33" t="s">
        <v>5</v>
      </c>
      <c r="D6" s="33">
        <v>74</v>
      </c>
      <c r="E6" s="33">
        <v>74</v>
      </c>
      <c r="F6" s="33">
        <v>84</v>
      </c>
      <c r="G6" s="33">
        <v>94</v>
      </c>
      <c r="H6" s="34">
        <v>114</v>
      </c>
    </row>
    <row r="7" spans="2:15" ht="15" customHeight="1" x14ac:dyDescent="0.3">
      <c r="B7" s="35" t="s">
        <v>1</v>
      </c>
      <c r="C7" s="36" t="s">
        <v>6</v>
      </c>
      <c r="D7" s="36">
        <v>104</v>
      </c>
      <c r="E7" s="36">
        <v>104</v>
      </c>
      <c r="F7" s="36">
        <v>114</v>
      </c>
      <c r="G7" s="36">
        <v>124</v>
      </c>
      <c r="H7" s="37">
        <v>154</v>
      </c>
    </row>
    <row r="8" spans="2:15" ht="15" customHeight="1" x14ac:dyDescent="0.3">
      <c r="B8" s="38"/>
      <c r="C8" s="2" t="s">
        <v>7</v>
      </c>
      <c r="D8" s="2">
        <v>114</v>
      </c>
      <c r="E8" s="2">
        <v>114</v>
      </c>
      <c r="F8" s="2">
        <v>124</v>
      </c>
      <c r="G8" s="2">
        <v>134</v>
      </c>
      <c r="H8" s="39">
        <v>144</v>
      </c>
    </row>
    <row r="9" spans="2:15" ht="15" customHeight="1" thickBot="1" x14ac:dyDescent="0.35">
      <c r="B9" s="40"/>
      <c r="C9" s="41" t="s">
        <v>5</v>
      </c>
      <c r="D9" s="41">
        <v>194</v>
      </c>
      <c r="E9" s="41">
        <v>164</v>
      </c>
      <c r="F9" s="41">
        <v>174</v>
      </c>
      <c r="G9" s="41">
        <v>164</v>
      </c>
      <c r="H9" s="42">
        <v>164</v>
      </c>
    </row>
    <row r="10" spans="2:15" ht="15" customHeight="1" x14ac:dyDescent="0.3">
      <c r="B10" s="27" t="s">
        <v>2</v>
      </c>
      <c r="C10" s="28" t="s">
        <v>6</v>
      </c>
      <c r="D10" s="28">
        <v>134</v>
      </c>
      <c r="E10" s="28">
        <v>144</v>
      </c>
      <c r="F10" s="28">
        <v>154</v>
      </c>
      <c r="G10" s="28">
        <v>144</v>
      </c>
      <c r="H10" s="29">
        <v>144</v>
      </c>
    </row>
    <row r="11" spans="2:15" ht="15" customHeight="1" x14ac:dyDescent="0.3">
      <c r="B11" s="30"/>
      <c r="C11" s="3" t="s">
        <v>7</v>
      </c>
      <c r="D11" s="3">
        <v>74</v>
      </c>
      <c r="E11" s="3">
        <v>74</v>
      </c>
      <c r="F11" s="3">
        <v>94</v>
      </c>
      <c r="G11" s="3">
        <v>104</v>
      </c>
      <c r="H11" s="31">
        <v>114</v>
      </c>
    </row>
    <row r="12" spans="2:15" ht="15" customHeight="1" thickBot="1" x14ac:dyDescent="0.35">
      <c r="B12" s="32"/>
      <c r="C12" s="33" t="s">
        <v>5</v>
      </c>
      <c r="D12" s="33">
        <v>174</v>
      </c>
      <c r="E12" s="33">
        <v>144</v>
      </c>
      <c r="F12" s="33">
        <v>154</v>
      </c>
      <c r="G12" s="33">
        <v>154</v>
      </c>
      <c r="H12" s="34">
        <v>154</v>
      </c>
    </row>
    <row r="13" spans="2:15" x14ac:dyDescent="0.3">
      <c r="B13" s="25" t="s">
        <v>9</v>
      </c>
      <c r="C13" s="26"/>
      <c r="D13" s="26"/>
      <c r="E13" s="26"/>
      <c r="F13" s="26"/>
      <c r="G13" s="26"/>
      <c r="H13" s="26"/>
    </row>
    <row r="14" spans="2:15" x14ac:dyDescent="0.3">
      <c r="B14" s="9"/>
      <c r="C14" s="9"/>
      <c r="D14" s="9"/>
      <c r="E14" s="9"/>
      <c r="F14" s="9"/>
      <c r="G14" s="9"/>
      <c r="H14" s="9"/>
    </row>
    <row r="15" spans="2:15" x14ac:dyDescent="0.3">
      <c r="B15" s="9"/>
      <c r="C15" s="9"/>
      <c r="D15" s="9"/>
      <c r="E15" s="9"/>
      <c r="F15" s="9"/>
      <c r="G15" s="9"/>
      <c r="H15" s="9"/>
    </row>
    <row r="16" spans="2:15" ht="15.6" x14ac:dyDescent="0.3">
      <c r="I16" s="12" t="s">
        <v>15</v>
      </c>
      <c r="J16" s="12"/>
      <c r="K16" s="12"/>
      <c r="N16"/>
      <c r="O16"/>
    </row>
    <row r="17" spans="9:16" x14ac:dyDescent="0.3">
      <c r="I17" s="4" t="s">
        <v>13</v>
      </c>
      <c r="J17" s="4" t="s">
        <v>14</v>
      </c>
      <c r="K17" s="4" t="s">
        <v>16</v>
      </c>
      <c r="N17"/>
      <c r="O17"/>
    </row>
    <row r="18" spans="9:16" ht="15.6" x14ac:dyDescent="0.3">
      <c r="I18" s="5">
        <v>0</v>
      </c>
      <c r="J18" s="6">
        <v>17110</v>
      </c>
      <c r="K18" s="6" t="s">
        <v>17</v>
      </c>
      <c r="N18"/>
      <c r="O18"/>
    </row>
    <row r="19" spans="9:16" ht="15.6" x14ac:dyDescent="0.3">
      <c r="I19" s="5">
        <v>5</v>
      </c>
      <c r="J19" s="6">
        <v>35</v>
      </c>
      <c r="K19" s="8">
        <f>J19/I19</f>
        <v>7</v>
      </c>
      <c r="N19"/>
      <c r="O19"/>
    </row>
    <row r="20" spans="9:16" ht="16.2" thickBot="1" x14ac:dyDescent="0.35">
      <c r="I20" s="13">
        <v>10</v>
      </c>
      <c r="J20" s="14">
        <v>28</v>
      </c>
      <c r="K20" s="15">
        <f t="shared" ref="K20:K30" si="0">J20/I20</f>
        <v>2.8</v>
      </c>
      <c r="N20"/>
      <c r="O20"/>
    </row>
    <row r="21" spans="9:16" ht="15.6" x14ac:dyDescent="0.3">
      <c r="I21" s="19">
        <v>15</v>
      </c>
      <c r="J21" s="20">
        <v>15</v>
      </c>
      <c r="K21" s="21">
        <f t="shared" si="0"/>
        <v>1</v>
      </c>
      <c r="N21"/>
      <c r="O21"/>
    </row>
    <row r="22" spans="9:16" ht="16.2" thickBot="1" x14ac:dyDescent="0.35">
      <c r="I22" s="22">
        <v>20</v>
      </c>
      <c r="J22" s="23">
        <v>19.2</v>
      </c>
      <c r="K22" s="24">
        <f t="shared" si="0"/>
        <v>0.96</v>
      </c>
      <c r="N22"/>
      <c r="O22"/>
    </row>
    <row r="23" spans="9:16" ht="15.6" x14ac:dyDescent="0.3">
      <c r="I23" s="16">
        <v>25</v>
      </c>
      <c r="J23" s="17">
        <v>22</v>
      </c>
      <c r="K23" s="18">
        <f t="shared" si="0"/>
        <v>0.88</v>
      </c>
      <c r="N23"/>
      <c r="O23"/>
    </row>
    <row r="24" spans="9:16" ht="15.6" x14ac:dyDescent="0.3">
      <c r="I24" s="5">
        <v>30</v>
      </c>
      <c r="J24" s="7">
        <v>27.4</v>
      </c>
      <c r="K24" s="8">
        <f t="shared" si="0"/>
        <v>0.91333333333333333</v>
      </c>
      <c r="N24"/>
      <c r="O24"/>
    </row>
    <row r="25" spans="9:16" ht="15.6" x14ac:dyDescent="0.3">
      <c r="I25" s="5">
        <v>35</v>
      </c>
      <c r="J25" s="7">
        <v>32</v>
      </c>
      <c r="K25" s="8">
        <f t="shared" si="0"/>
        <v>0.91428571428571426</v>
      </c>
      <c r="N25"/>
      <c r="O25"/>
    </row>
    <row r="26" spans="9:16" ht="15.6" x14ac:dyDescent="0.3">
      <c r="I26" s="5">
        <v>40</v>
      </c>
      <c r="J26" s="7">
        <v>39.6</v>
      </c>
      <c r="K26" s="8">
        <f t="shared" si="0"/>
        <v>0.99</v>
      </c>
      <c r="N26"/>
      <c r="O26"/>
    </row>
    <row r="27" spans="9:16" ht="15.6" x14ac:dyDescent="0.3">
      <c r="I27" s="5">
        <v>45</v>
      </c>
      <c r="J27" s="7">
        <v>44.8</v>
      </c>
      <c r="K27" s="8">
        <f t="shared" si="0"/>
        <v>0.99555555555555553</v>
      </c>
      <c r="N27"/>
      <c r="O27"/>
    </row>
    <row r="28" spans="9:16" ht="15.6" x14ac:dyDescent="0.3">
      <c r="I28" s="5">
        <v>50</v>
      </c>
      <c r="J28" s="7">
        <v>48.7</v>
      </c>
      <c r="K28" s="8">
        <f t="shared" si="0"/>
        <v>0.97400000000000009</v>
      </c>
      <c r="N28"/>
      <c r="O28"/>
    </row>
    <row r="29" spans="9:16" ht="15.6" x14ac:dyDescent="0.3">
      <c r="I29" s="5">
        <v>55</v>
      </c>
      <c r="J29" s="7">
        <v>53.7</v>
      </c>
      <c r="K29" s="8">
        <f t="shared" si="0"/>
        <v>0.97636363636363643</v>
      </c>
      <c r="N29"/>
      <c r="O29"/>
    </row>
    <row r="30" spans="9:16" ht="15.6" x14ac:dyDescent="0.3">
      <c r="I30" s="5">
        <v>60</v>
      </c>
      <c r="J30" s="7">
        <v>58.2</v>
      </c>
      <c r="K30" s="8">
        <f t="shared" si="0"/>
        <v>0.97000000000000008</v>
      </c>
      <c r="N30"/>
      <c r="O30"/>
    </row>
    <row r="31" spans="9:16" ht="14.25" customHeight="1" x14ac:dyDescent="0.3">
      <c r="I31" s="10"/>
      <c r="J31" s="10"/>
      <c r="L31" s="49" t="s">
        <v>27</v>
      </c>
      <c r="M31" s="50"/>
      <c r="N31" s="50"/>
      <c r="O31" s="50"/>
      <c r="P31" s="51"/>
    </row>
    <row r="32" spans="9:16" x14ac:dyDescent="0.3">
      <c r="I32" s="11"/>
      <c r="J32" s="11"/>
      <c r="L32" s="58" t="s">
        <v>18</v>
      </c>
      <c r="M32" s="59" t="s">
        <v>19</v>
      </c>
      <c r="N32" s="60"/>
      <c r="O32" s="61"/>
      <c r="P32" s="58" t="s">
        <v>20</v>
      </c>
    </row>
    <row r="33" spans="9:21" x14ac:dyDescent="0.3">
      <c r="I33" s="11"/>
      <c r="J33" s="11"/>
      <c r="L33" s="62"/>
      <c r="M33" s="63" t="s">
        <v>0</v>
      </c>
      <c r="N33" s="56" t="s">
        <v>1</v>
      </c>
      <c r="O33" s="64" t="s">
        <v>2</v>
      </c>
      <c r="P33" s="62"/>
    </row>
    <row r="34" spans="9:21" x14ac:dyDescent="0.3">
      <c r="I34" s="11"/>
      <c r="J34" s="11"/>
      <c r="L34" s="52" t="s">
        <v>0</v>
      </c>
      <c r="M34" s="55">
        <v>12</v>
      </c>
      <c r="N34" s="55">
        <v>0</v>
      </c>
      <c r="O34" s="55">
        <v>0</v>
      </c>
      <c r="P34" s="66">
        <f>M34/(SUM(M34:O34))</f>
        <v>1</v>
      </c>
    </row>
    <row r="35" spans="9:21" x14ac:dyDescent="0.3">
      <c r="I35" s="11"/>
      <c r="J35" s="11"/>
      <c r="L35" s="56" t="s">
        <v>1</v>
      </c>
      <c r="M35" s="57">
        <v>2</v>
      </c>
      <c r="N35" s="57">
        <v>9</v>
      </c>
      <c r="O35" s="57">
        <v>1</v>
      </c>
      <c r="P35" s="66">
        <f>N35/(SUM(M35:O35))</f>
        <v>0.75</v>
      </c>
    </row>
    <row r="36" spans="9:21" x14ac:dyDescent="0.3">
      <c r="L36" s="54" t="s">
        <v>2</v>
      </c>
      <c r="M36" s="55">
        <v>1</v>
      </c>
      <c r="N36" s="55">
        <v>0</v>
      </c>
      <c r="O36" s="55">
        <v>11</v>
      </c>
      <c r="P36" s="66">
        <f>O36/(SUM(M36:O36))</f>
        <v>0.91666666666666663</v>
      </c>
    </row>
    <row r="37" spans="9:21" ht="15.6" x14ac:dyDescent="0.3">
      <c r="Q37" s="68" t="s">
        <v>28</v>
      </c>
      <c r="R37" s="68"/>
      <c r="S37" s="68"/>
      <c r="T37" s="68"/>
      <c r="U37" s="68"/>
    </row>
    <row r="38" spans="9:21" s="67" customFormat="1" ht="28.8" x14ac:dyDescent="0.3">
      <c r="Q38" s="73"/>
      <c r="R38" s="73" t="s">
        <v>22</v>
      </c>
      <c r="S38" s="73" t="s">
        <v>23</v>
      </c>
      <c r="T38" s="73" t="s">
        <v>21</v>
      </c>
      <c r="U38" s="73" t="s">
        <v>24</v>
      </c>
    </row>
    <row r="39" spans="9:21" x14ac:dyDescent="0.3">
      <c r="Q39" s="75" t="s">
        <v>0</v>
      </c>
      <c r="R39" s="69" t="s">
        <v>25</v>
      </c>
      <c r="S39" s="69" t="s">
        <v>25</v>
      </c>
      <c r="T39" s="69" t="s">
        <v>25</v>
      </c>
      <c r="U39" s="70" t="s">
        <v>26</v>
      </c>
    </row>
    <row r="40" spans="9:21" x14ac:dyDescent="0.3">
      <c r="Q40" s="53" t="s">
        <v>1</v>
      </c>
      <c r="R40" s="74" t="s">
        <v>25</v>
      </c>
      <c r="S40" s="74" t="s">
        <v>25</v>
      </c>
      <c r="T40" s="74" t="s">
        <v>25</v>
      </c>
      <c r="U40" s="71"/>
    </row>
    <row r="41" spans="9:21" x14ac:dyDescent="0.3">
      <c r="Q41" s="76" t="s">
        <v>2</v>
      </c>
      <c r="R41" s="69" t="s">
        <v>25</v>
      </c>
      <c r="S41" s="69" t="s">
        <v>25</v>
      </c>
      <c r="T41" s="69" t="s">
        <v>25</v>
      </c>
      <c r="U41" s="72"/>
    </row>
  </sheetData>
  <mergeCells count="14">
    <mergeCell ref="U39:U41"/>
    <mergeCell ref="M32:O32"/>
    <mergeCell ref="L31:P31"/>
    <mergeCell ref="L32:L33"/>
    <mergeCell ref="P32:P33"/>
    <mergeCell ref="Q37:U37"/>
    <mergeCell ref="B13:H15"/>
    <mergeCell ref="I31:J35"/>
    <mergeCell ref="I16:K16"/>
    <mergeCell ref="B2:H2"/>
    <mergeCell ref="B4:B6"/>
    <mergeCell ref="B7:B9"/>
    <mergeCell ref="B10:B12"/>
    <mergeCell ref="B3:C3"/>
  </mergeCells>
  <conditionalFormatting sqref="P34:P36">
    <cfRule type="colorScale" priority="1">
      <colorScale>
        <cfvo type="num" val="0.5"/>
        <cfvo type="num" val="0.85"/>
        <cfvo type="num" val="1"/>
        <color rgb="FFFF0000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Greenwich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Shute</dc:creator>
  <cp:lastModifiedBy>William Shute</cp:lastModifiedBy>
  <cp:lastPrinted>2025-11-27T12:12:33Z</cp:lastPrinted>
  <dcterms:created xsi:type="dcterms:W3CDTF">2025-11-27T12:08:52Z</dcterms:created>
  <dcterms:modified xsi:type="dcterms:W3CDTF">2025-11-27T17:00:38Z</dcterms:modified>
</cp:coreProperties>
</file>